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xgol\Downloads\"/>
    </mc:Choice>
  </mc:AlternateContent>
  <xr:revisionPtr revIDLastSave="0" documentId="13_ncr:1_{D85D33BE-77FD-46EE-B201-98BB1C156AFB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VehicleRegs 2023&amp;2024" sheetId="21" r:id="rId1"/>
    <sheet name="September 2024" sheetId="20" r:id="rId2"/>
    <sheet name="December 2024" sheetId="18" r:id="rId3"/>
  </sheets>
  <externalReferences>
    <externalReference r:id="rId4"/>
  </externalReferences>
  <definedNames>
    <definedName name="VOTERSTATSCROSSTAB" localSheetId="1">[1]December!#REF!</definedName>
    <definedName name="VOTERSTATSCROSSTAB">'December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1" l="1"/>
  <c r="C4" i="21"/>
  <c r="D4" i="21"/>
  <c r="E4" i="21"/>
  <c r="F4" i="21"/>
  <c r="G3" i="18"/>
  <c r="H3" i="18"/>
  <c r="E3" i="18"/>
  <c r="D3" i="18"/>
  <c r="C3" i="18"/>
  <c r="B3" i="18"/>
  <c r="Q3" i="20"/>
  <c r="R3" i="20"/>
  <c r="S3" i="20"/>
  <c r="T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T3" i="18"/>
  <c r="S3" i="18"/>
  <c r="R3" i="18"/>
  <c r="Q3" i="18"/>
  <c r="P3" i="18"/>
  <c r="N3" i="18"/>
  <c r="M3" i="18"/>
  <c r="L3" i="18"/>
  <c r="K3" i="18"/>
  <c r="J3" i="18"/>
  <c r="I3" i="18"/>
</calcChain>
</file>

<file path=xl/sharedStrings.xml><?xml version="1.0" encoding="utf-8"?>
<sst xmlns="http://schemas.openxmlformats.org/spreadsheetml/2006/main" count="57" uniqueCount="25">
  <si>
    <t>BALDWIN</t>
  </si>
  <si>
    <t>MOBILE</t>
  </si>
  <si>
    <t>Asian</t>
  </si>
  <si>
    <t>American Indian</t>
  </si>
  <si>
    <t>Black</t>
  </si>
  <si>
    <t>Federally Registered (May be of Any Race)</t>
  </si>
  <si>
    <t>Hispanic</t>
  </si>
  <si>
    <t>Other</t>
  </si>
  <si>
    <t>White</t>
  </si>
  <si>
    <t>Not Identified</t>
  </si>
  <si>
    <t>Total Active</t>
  </si>
  <si>
    <t>Total Inactive</t>
  </si>
  <si>
    <t>Active</t>
  </si>
  <si>
    <t>Inactive</t>
  </si>
  <si>
    <t>TOTAL</t>
  </si>
  <si>
    <t>Total active and inactive</t>
  </si>
  <si>
    <t>County</t>
  </si>
  <si>
    <t>Baldwin County</t>
  </si>
  <si>
    <t>Mobile County</t>
  </si>
  <si>
    <t>Passenger Cars</t>
  </si>
  <si>
    <t xml:space="preserve"> Motorcycles</t>
  </si>
  <si>
    <t xml:space="preserve">Placards </t>
  </si>
  <si>
    <t>All Others</t>
  </si>
  <si>
    <t xml:space="preserve"> Total Registrations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</si>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</sst>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3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xgol\Downloads\ALVR-2024%20(1).xlsx" TargetMode="External"/><Relationship Id="rId1" Type="http://schemas.openxmlformats.org/officeDocument/2006/relationships/externalLinkPath" Target="ALVR-2024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October"/>
      <sheetName val="November"/>
      <sheetName val="Decemb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84C7-7FDA-48DC-AC4A-B48E13CAF7D9}">
  <dimension ref="A1:F4"/>
  <sheetViews>
    <sheetView workbookViewId="0">
      <selection activeCell="G2" sqref="G2"/>
    </sheetView>
  </sheetViews>
  <sheetFormatPr defaultRowHeight="14.4" x14ac:dyDescent="0.3"/>
  <cols>
    <col min="1" max="1" width="13.77734375" bestFit="1" customWidth="1"/>
    <col min="2" max="2" width="15.109375" customWidth="1"/>
    <col min="3" max="3" width="11.6640625" customWidth="1"/>
    <col min="4" max="4" width="13.33203125" customWidth="1"/>
    <col min="5" max="5" width="14.21875" customWidth="1"/>
    <col min="6" max="6" width="16.5546875" customWidth="1"/>
  </cols>
  <sheetData>
    <row r="1" spans="1:6" x14ac:dyDescent="0.3">
      <c r="A1" t="s">
        <v>16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 t="s">
        <v>17</v>
      </c>
      <c r="B2" s="5">
        <v>289739</v>
      </c>
      <c r="C2" s="5">
        <v>7999</v>
      </c>
      <c r="D2" s="5">
        <v>6412</v>
      </c>
      <c r="E2" s="5">
        <v>43267</v>
      </c>
      <c r="F2" s="5">
        <v>347417</v>
      </c>
    </row>
    <row r="3" spans="1:6" x14ac:dyDescent="0.3">
      <c r="A3" t="s">
        <v>18</v>
      </c>
      <c r="B3" s="5">
        <v>387539</v>
      </c>
      <c r="C3" s="5">
        <v>7684</v>
      </c>
      <c r="D3" s="5">
        <v>10779</v>
      </c>
      <c r="E3" s="5">
        <v>50587</v>
      </c>
      <c r="F3" s="5">
        <v>456589</v>
      </c>
    </row>
    <row r="4" spans="1:6" x14ac:dyDescent="0.3">
      <c r="A4" t="s">
        <v>24</v>
      </c>
      <c r="B4" s="5">
        <f>SUM(B2:B3)</f>
        <v>677278</v>
      </c>
      <c r="C4" s="5">
        <f>SUM(C2:C3)</f>
        <v>15683</v>
      </c>
      <c r="D4" s="5">
        <f>SUM(D2:D3)</f>
        <v>17191</v>
      </c>
      <c r="E4" s="5">
        <f>SUM(E2:E3)</f>
        <v>93854</v>
      </c>
      <c r="F4" s="5">
        <f>SUM(F2+F3)</f>
        <v>804006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956C-75E8-4319-AD71-5CCD2AD14355}">
  <dimension ref="A1:T5"/>
  <sheetViews>
    <sheetView tabSelected="1" zoomScale="145" zoomScaleNormal="145" workbookViewId="0">
      <selection activeCell="Q4" sqref="Q4"/>
    </sheetView>
  </sheetViews>
  <sheetFormatPr defaultColWidth="8.88671875" defaultRowHeight="12" x14ac:dyDescent="0.25"/>
  <cols>
    <col min="1" max="64" width="14.109375" style="1" customWidth="1"/>
    <col min="65" max="16384" width="8.88671875" style="1"/>
  </cols>
  <sheetData>
    <row r="1" spans="1:20" s="3" customFormat="1" x14ac:dyDescent="0.25">
      <c r="A1" s="6"/>
      <c r="B1" s="7" t="s">
        <v>15</v>
      </c>
      <c r="C1" s="6" t="s">
        <v>12</v>
      </c>
      <c r="D1" s="6"/>
      <c r="E1" s="6"/>
      <c r="F1" s="6"/>
      <c r="G1" s="6"/>
      <c r="H1" s="6"/>
      <c r="I1" s="6"/>
      <c r="J1" s="6"/>
      <c r="K1" s="6"/>
      <c r="L1" s="6" t="s">
        <v>13</v>
      </c>
      <c r="M1" s="6"/>
      <c r="N1" s="6"/>
      <c r="O1" s="6"/>
      <c r="P1" s="6"/>
      <c r="Q1" s="6"/>
      <c r="R1" s="6"/>
      <c r="S1" s="6"/>
      <c r="T1" s="6"/>
    </row>
    <row r="2" spans="1:20" s="3" customFormat="1" ht="36" x14ac:dyDescent="0.25">
      <c r="A2" s="6"/>
      <c r="B2" s="7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8</v>
      </c>
      <c r="I2" s="4" t="s">
        <v>7</v>
      </c>
      <c r="J2" s="4" t="s">
        <v>9</v>
      </c>
      <c r="K2" s="4" t="s">
        <v>10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8</v>
      </c>
      <c r="R2" s="4" t="s">
        <v>7</v>
      </c>
      <c r="S2" s="4" t="s">
        <v>9</v>
      </c>
      <c r="T2" s="4" t="s">
        <v>11</v>
      </c>
    </row>
    <row r="3" spans="1:20" x14ac:dyDescent="0.25">
      <c r="A3" s="2" t="s">
        <v>14</v>
      </c>
      <c r="B3" s="8">
        <f>SUM(B4+B5)</f>
        <v>518967</v>
      </c>
      <c r="C3" s="2">
        <f>SUM(C4+C5)</f>
        <v>4325</v>
      </c>
      <c r="D3" s="2">
        <f>SUM(D4+D5)</f>
        <v>1415</v>
      </c>
      <c r="E3" s="8">
        <f>SUM(E4+E5)</f>
        <v>109569</v>
      </c>
      <c r="F3" s="2">
        <f>SUM(F4+F5)</f>
        <v>6</v>
      </c>
      <c r="G3" s="8">
        <f>SUM(G4+G5)</f>
        <v>5173</v>
      </c>
      <c r="H3" s="8">
        <f>SUM(H4+H5)</f>
        <v>321664</v>
      </c>
      <c r="I3" s="8">
        <f>SUM(I4+I5)</f>
        <v>3648</v>
      </c>
      <c r="J3" s="8">
        <f>SUM(J4+J5)</f>
        <v>1761</v>
      </c>
      <c r="K3" s="8">
        <f>SUM(K4+K5)</f>
        <v>447561</v>
      </c>
      <c r="L3" s="2">
        <f>SUM(L4+L5)</f>
        <v>853</v>
      </c>
      <c r="M3" s="2">
        <f>SUM(M4+M5)</f>
        <v>285</v>
      </c>
      <c r="N3" s="8">
        <f>SUM(N4+N5)</f>
        <v>17324</v>
      </c>
      <c r="O3" s="2">
        <f>SUM(O4+O5)</f>
        <v>2</v>
      </c>
      <c r="P3" s="2">
        <f>SUM(P4+P5)</f>
        <v>1327</v>
      </c>
      <c r="Q3" s="8">
        <f>SUM(Q4+Q5)</f>
        <v>49949</v>
      </c>
      <c r="R3" s="2">
        <f>SUM(R4+R5)</f>
        <v>1100</v>
      </c>
      <c r="S3" s="2">
        <f>SUM(S4+S5)</f>
        <v>566</v>
      </c>
      <c r="T3" s="8">
        <f>SUM(T4+T5)</f>
        <v>71406</v>
      </c>
    </row>
    <row r="4" spans="1:20" x14ac:dyDescent="0.25">
      <c r="A4" s="2" t="s">
        <v>0</v>
      </c>
      <c r="B4" s="8">
        <v>202010</v>
      </c>
      <c r="C4" s="2">
        <v>1067</v>
      </c>
      <c r="D4" s="2">
        <v>557</v>
      </c>
      <c r="E4" s="8">
        <v>12165</v>
      </c>
      <c r="F4" s="2"/>
      <c r="G4" s="8">
        <v>2531</v>
      </c>
      <c r="H4" s="8">
        <v>156733</v>
      </c>
      <c r="I4" s="8">
        <v>1186</v>
      </c>
      <c r="J4" s="2">
        <v>532</v>
      </c>
      <c r="K4" s="8">
        <v>174771</v>
      </c>
      <c r="L4" s="2">
        <v>207</v>
      </c>
      <c r="M4" s="2">
        <v>128</v>
      </c>
      <c r="N4" s="8">
        <v>2172</v>
      </c>
      <c r="O4" s="2"/>
      <c r="P4" s="2">
        <v>563</v>
      </c>
      <c r="Q4" s="8">
        <v>23738</v>
      </c>
      <c r="R4" s="2">
        <v>272</v>
      </c>
      <c r="S4" s="2">
        <v>159</v>
      </c>
      <c r="T4" s="8">
        <v>27239</v>
      </c>
    </row>
    <row r="5" spans="1:20" x14ac:dyDescent="0.25">
      <c r="A5" s="2" t="s">
        <v>1</v>
      </c>
      <c r="B5" s="8">
        <v>316957</v>
      </c>
      <c r="C5" s="2">
        <v>3258</v>
      </c>
      <c r="D5" s="2">
        <v>858</v>
      </c>
      <c r="E5" s="8">
        <v>97404</v>
      </c>
      <c r="F5" s="2">
        <v>6</v>
      </c>
      <c r="G5" s="8">
        <v>2642</v>
      </c>
      <c r="H5" s="8">
        <v>164931</v>
      </c>
      <c r="I5" s="8">
        <v>2462</v>
      </c>
      <c r="J5" s="8">
        <v>1229</v>
      </c>
      <c r="K5" s="8">
        <v>272790</v>
      </c>
      <c r="L5" s="2">
        <v>646</v>
      </c>
      <c r="M5" s="2">
        <v>157</v>
      </c>
      <c r="N5" s="8">
        <v>15152</v>
      </c>
      <c r="O5" s="2">
        <v>2</v>
      </c>
      <c r="P5" s="2">
        <v>764</v>
      </c>
      <c r="Q5" s="8">
        <v>26211</v>
      </c>
      <c r="R5" s="2">
        <v>828</v>
      </c>
      <c r="S5" s="2">
        <v>407</v>
      </c>
      <c r="T5" s="8">
        <v>44167</v>
      </c>
    </row>
  </sheetData>
  <mergeCells count="4">
    <mergeCell ref="C1:K1"/>
    <mergeCell ref="L1:T1"/>
    <mergeCell ref="A1:A2"/>
    <mergeCell ref="B1:B2"/>
  </mergeCells>
  <pageMargins left="0.7" right="0.7" top="0.75" bottom="0.75" header="0.3" footer="0.3"/>
  <pageSetup paperSize="11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16FC-4192-443C-9367-58F7A548C407}">
  <dimension ref="A1:T5"/>
  <sheetViews>
    <sheetView zoomScale="115" zoomScaleNormal="115" workbookViewId="0">
      <selection activeCell="G4" sqref="G4"/>
    </sheetView>
  </sheetViews>
  <sheetFormatPr defaultColWidth="8.88671875" defaultRowHeight="12" x14ac:dyDescent="0.25"/>
  <cols>
    <col min="1" max="1" width="17.109375" style="1" customWidth="1"/>
    <col min="2" max="2" width="14.5546875" style="1" customWidth="1"/>
    <col min="3" max="3" width="13.44140625" style="1" customWidth="1"/>
    <col min="4" max="4" width="12.5546875" style="1" customWidth="1"/>
    <col min="5" max="5" width="14.88671875" style="1" customWidth="1"/>
    <col min="6" max="6" width="15" style="1" customWidth="1"/>
    <col min="7" max="7" width="11.6640625" style="1" customWidth="1"/>
    <col min="8" max="8" width="12.5546875" style="1" customWidth="1"/>
    <col min="9" max="9" width="14.6640625" style="1" customWidth="1"/>
    <col min="10" max="10" width="12.5546875" style="1" customWidth="1"/>
    <col min="11" max="11" width="11" style="1" customWidth="1"/>
    <col min="12" max="12" width="12" style="1" customWidth="1"/>
    <col min="13" max="13" width="15" style="1" customWidth="1"/>
    <col min="14" max="14" width="10.109375" style="1" customWidth="1"/>
    <col min="15" max="15" width="15.44140625" style="1" customWidth="1"/>
    <col min="16" max="16" width="11.5546875" style="1" customWidth="1"/>
    <col min="17" max="17" width="15.109375" style="1" customWidth="1"/>
    <col min="18" max="18" width="13.109375" style="1" customWidth="1"/>
    <col min="19" max="19" width="12.109375" style="1" customWidth="1"/>
    <col min="20" max="20" width="12.33203125" style="1" customWidth="1"/>
    <col min="21" max="16384" width="8.88671875" style="1"/>
  </cols>
  <sheetData>
    <row r="1" spans="1:20" s="3" customFormat="1" x14ac:dyDescent="0.25">
      <c r="A1" s="6"/>
      <c r="B1" s="7" t="s">
        <v>15</v>
      </c>
      <c r="C1" s="6" t="s">
        <v>12</v>
      </c>
      <c r="D1" s="6"/>
      <c r="E1" s="6"/>
      <c r="F1" s="6"/>
      <c r="G1" s="6"/>
      <c r="H1" s="6"/>
      <c r="I1" s="6"/>
      <c r="J1" s="6"/>
      <c r="K1" s="6"/>
      <c r="L1" s="6" t="s">
        <v>13</v>
      </c>
      <c r="M1" s="6"/>
      <c r="N1" s="6"/>
      <c r="O1" s="6"/>
      <c r="P1" s="6"/>
      <c r="Q1" s="6"/>
      <c r="R1" s="6"/>
      <c r="S1" s="6"/>
      <c r="T1" s="6"/>
    </row>
    <row r="2" spans="1:20" s="3" customFormat="1" ht="36" x14ac:dyDescent="0.25">
      <c r="A2" s="6"/>
      <c r="B2" s="7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8</v>
      </c>
      <c r="I2" s="4" t="s">
        <v>7</v>
      </c>
      <c r="J2" s="4" t="s">
        <v>9</v>
      </c>
      <c r="K2" s="4" t="s">
        <v>10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4" t="s">
        <v>8</v>
      </c>
      <c r="R2" s="4" t="s">
        <v>7</v>
      </c>
      <c r="S2" s="4" t="s">
        <v>9</v>
      </c>
      <c r="T2" s="4" t="s">
        <v>11</v>
      </c>
    </row>
    <row r="3" spans="1:20" x14ac:dyDescent="0.25">
      <c r="A3" s="2" t="s">
        <v>14</v>
      </c>
      <c r="B3" s="8">
        <f>SUM(B4:B5)</f>
        <v>532270</v>
      </c>
      <c r="C3" s="8">
        <f>SUM(C4:C5)</f>
        <v>4725</v>
      </c>
      <c r="D3" s="8">
        <f>SUM(D4:D5)</f>
        <v>1562</v>
      </c>
      <c r="E3" s="8">
        <f>SUM(E4:E5)</f>
        <v>112871</v>
      </c>
      <c r="F3" s="2">
        <v>6</v>
      </c>
      <c r="G3" s="8">
        <f>SUM(G4:G5)</f>
        <v>5729</v>
      </c>
      <c r="H3" s="8">
        <f>SUM(H4+H5)</f>
        <v>333470</v>
      </c>
      <c r="I3" s="8">
        <f>SUM(I4+I5)</f>
        <v>3996</v>
      </c>
      <c r="J3" s="8">
        <f>SUM(J4+J5)</f>
        <v>1880</v>
      </c>
      <c r="K3" s="8">
        <f>SUM(K4+K5)</f>
        <v>464239</v>
      </c>
      <c r="L3" s="2">
        <f>SUM(L4+L5)</f>
        <v>748</v>
      </c>
      <c r="M3" s="2">
        <f>SUM(M4+M5)</f>
        <v>273</v>
      </c>
      <c r="N3" s="8">
        <f>SUM(N4+N5)</f>
        <v>16467</v>
      </c>
      <c r="O3" s="2">
        <v>1</v>
      </c>
      <c r="P3" s="2">
        <f>SUM(P4+P5)</f>
        <v>1243</v>
      </c>
      <c r="Q3" s="8">
        <f>SUM(Q4+Q5)</f>
        <v>47728</v>
      </c>
      <c r="R3" s="2">
        <f>SUM(R4+R5)</f>
        <v>1050</v>
      </c>
      <c r="S3" s="2">
        <f>SUM(S4+S5)</f>
        <v>521</v>
      </c>
      <c r="T3" s="8">
        <f>SUM(T4+T5)</f>
        <v>68031</v>
      </c>
    </row>
    <row r="4" spans="1:20" x14ac:dyDescent="0.25">
      <c r="A4" s="2" t="s">
        <v>0</v>
      </c>
      <c r="B4" s="8">
        <v>208994</v>
      </c>
      <c r="C4" s="8">
        <v>1191</v>
      </c>
      <c r="D4" s="2">
        <v>601</v>
      </c>
      <c r="E4" s="8">
        <v>12774</v>
      </c>
      <c r="F4" s="2"/>
      <c r="G4" s="8">
        <v>2823</v>
      </c>
      <c r="H4" s="8">
        <v>164139</v>
      </c>
      <c r="I4" s="8">
        <v>1334</v>
      </c>
      <c r="J4" s="2">
        <v>571</v>
      </c>
      <c r="K4" s="8">
        <v>183433</v>
      </c>
      <c r="L4" s="2">
        <v>188</v>
      </c>
      <c r="M4" s="2">
        <v>123</v>
      </c>
      <c r="N4" s="8">
        <v>2019</v>
      </c>
      <c r="O4" s="2"/>
      <c r="P4" s="2">
        <v>523</v>
      </c>
      <c r="Q4" s="8">
        <v>22308</v>
      </c>
      <c r="R4" s="2">
        <v>255</v>
      </c>
      <c r="S4" s="2">
        <v>145</v>
      </c>
      <c r="T4" s="8">
        <v>25561</v>
      </c>
    </row>
    <row r="5" spans="1:20" x14ac:dyDescent="0.25">
      <c r="A5" s="2" t="s">
        <v>1</v>
      </c>
      <c r="B5" s="8">
        <v>323276</v>
      </c>
      <c r="C5" s="8">
        <v>3534</v>
      </c>
      <c r="D5" s="2">
        <v>961</v>
      </c>
      <c r="E5" s="8">
        <v>100097</v>
      </c>
      <c r="F5" s="2">
        <v>6</v>
      </c>
      <c r="G5" s="8">
        <v>2906</v>
      </c>
      <c r="H5" s="8">
        <v>169331</v>
      </c>
      <c r="I5" s="8">
        <v>2662</v>
      </c>
      <c r="J5" s="8">
        <v>1309</v>
      </c>
      <c r="K5" s="8">
        <v>280806</v>
      </c>
      <c r="L5" s="2">
        <v>560</v>
      </c>
      <c r="M5" s="2">
        <v>150</v>
      </c>
      <c r="N5" s="8">
        <v>14448</v>
      </c>
      <c r="O5" s="2">
        <v>1</v>
      </c>
      <c r="P5" s="2">
        <v>720</v>
      </c>
      <c r="Q5" s="8">
        <v>25420</v>
      </c>
      <c r="R5" s="2">
        <v>795</v>
      </c>
      <c r="S5" s="2">
        <v>376</v>
      </c>
      <c r="T5" s="8">
        <v>42470</v>
      </c>
    </row>
  </sheetData>
  <mergeCells count="4">
    <mergeCell ref="A1:A2"/>
    <mergeCell ref="B1:B2"/>
    <mergeCell ref="C1:K1"/>
    <mergeCell ref="L1:T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VehicleRegs 2023&amp;2024</vt:lpstr>
      <vt:lpstr>September 2024</vt:lpstr>
      <vt:lpstr>December 2024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Candace Payne</dc:creator>
  <cp:lastModifiedBy>Andy Quang Nguyen</cp:lastModifiedBy>
  <dcterms:created xsi:type="dcterms:W3CDTF">2024-02-12T15:04:41Z</dcterms:created>
  <dcterms:modified xsi:type="dcterms:W3CDTF">2026-03-31T22:59:36Z</dcterms:modified>
</cp:coreProperties>
</file>