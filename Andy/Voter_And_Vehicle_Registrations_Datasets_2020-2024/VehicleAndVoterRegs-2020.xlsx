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xgol\Downloads\"/>
    </mc:Choice>
  </mc:AlternateContent>
  <xr:revisionPtr revIDLastSave="0" documentId="13_ncr:1_{0F8AB71A-D365-4875-B18A-DB47151C5A59}" xr6:coauthVersionLast="47" xr6:coauthVersionMax="47" xr10:uidLastSave="{00000000-0000-0000-0000-000000000000}"/>
  <bookViews>
    <workbookView xWindow="-108" yWindow="-108" windowWidth="30936" windowHeight="18696" tabRatio="829" xr2:uid="{EFC3AC63-9F80-46EF-87E7-E56E9256411A}"/>
  </bookViews>
  <sheets>
    <sheet name="VehicleRegs 2020" sheetId="17" r:id="rId1"/>
    <sheet name="2020 Primary Election" sheetId="2" r:id="rId2"/>
    <sheet name="2020 Primary Runoff" sheetId="7" r:id="rId3"/>
    <sheet name="2020 General" sheetId="13" r:id="rId4"/>
    <sheet name="December 2020" sheetId="16" r:id="rId5"/>
  </sheets>
  <definedNames>
    <definedName name="_xlnm.Print_Titles" localSheetId="3">'2020 General'!$A:$A,'2020 General'!$1:$2</definedName>
    <definedName name="_xlnm.Print_Titles" localSheetId="1">'2020 Primary Election'!$A:$A,'2020 Primary Election'!$1:$2</definedName>
    <definedName name="_xlnm.Print_Titles" localSheetId="2">'2020 Primary Runoff'!$A:$A,'2020 Primary Runoff'!$1:$2</definedName>
    <definedName name="_xlnm.Print_Titles" localSheetId="4">'December 2020'!$A:$A,'December 2020'!$1:$2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7" l="1"/>
  <c r="E4" i="17"/>
  <c r="D4" i="17"/>
  <c r="C4" i="17"/>
  <c r="B4" i="17"/>
  <c r="P3" i="16"/>
  <c r="N3" i="16"/>
  <c r="M3" i="16"/>
  <c r="L3" i="16"/>
  <c r="K3" i="16"/>
  <c r="J3" i="16"/>
  <c r="I3" i="16"/>
  <c r="H3" i="16"/>
  <c r="G3" i="16"/>
  <c r="E3" i="16"/>
  <c r="D3" i="16"/>
  <c r="C3" i="16"/>
  <c r="B3" i="16"/>
  <c r="P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Q3" i="7"/>
  <c r="P3" i="7"/>
  <c r="N3" i="7"/>
  <c r="M3" i="7"/>
  <c r="L3" i="7"/>
  <c r="K3" i="7"/>
  <c r="J3" i="7"/>
  <c r="I3" i="7"/>
  <c r="H3" i="7"/>
  <c r="G3" i="7"/>
  <c r="F3" i="7"/>
  <c r="E3" i="7"/>
  <c r="D3" i="7"/>
  <c r="C3" i="7"/>
  <c r="B3" i="7"/>
  <c r="B3" i="2"/>
  <c r="D3" i="2"/>
  <c r="E3" i="2"/>
  <c r="G3" i="2"/>
  <c r="H3" i="2"/>
  <c r="I3" i="2"/>
  <c r="J3" i="2"/>
  <c r="K3" i="2"/>
  <c r="L3" i="2"/>
  <c r="M3" i="2"/>
  <c r="N3" i="2"/>
  <c r="P3" i="2"/>
  <c r="C3" i="2"/>
  <c r="Q3" i="2"/>
  <c r="Q3" i="13"/>
  <c r="Q3" i="16"/>
  <c r="R3" i="16"/>
  <c r="R3" i="13"/>
  <c r="R3" i="7"/>
  <c r="R3" i="2"/>
  <c r="S3" i="2"/>
  <c r="S3" i="7"/>
  <c r="S3" i="13"/>
  <c r="S3" i="16"/>
  <c r="T3" i="2"/>
  <c r="T3" i="7"/>
  <c r="T3" i="13"/>
  <c r="T3" i="16"/>
</calcChain>
</file>

<file path=xl/sharedStrings.xml><?xml version="1.0" encoding="utf-8"?>
<sst xmlns="http://schemas.openxmlformats.org/spreadsheetml/2006/main" count="105" uniqueCount="25">
  <si>
    <t>BALDWIN</t>
  </si>
  <si>
    <t>MOBILE</t>
  </si>
  <si>
    <t>Asian</t>
  </si>
  <si>
    <t>American Indian</t>
  </si>
  <si>
    <t>Black</t>
  </si>
  <si>
    <t>Federally-Registered (may be of any race)</t>
  </si>
  <si>
    <t>Hispanic</t>
  </si>
  <si>
    <t>Other</t>
  </si>
  <si>
    <t>White</t>
  </si>
  <si>
    <t>Total Active &amp; Inactive</t>
  </si>
  <si>
    <t>Not Identified</t>
  </si>
  <si>
    <t>Total Active</t>
  </si>
  <si>
    <t>Total Inactive</t>
  </si>
  <si>
    <t>TOTAL</t>
  </si>
  <si>
    <t>Inactive</t>
  </si>
  <si>
    <t>Active</t>
  </si>
  <si>
    <t>County</t>
  </si>
  <si>
    <t>Baldwin</t>
  </si>
  <si>
    <t>Mobile</t>
  </si>
  <si>
    <t>Passenger Cars</t>
  </si>
  <si>
    <t>Motorcycles</t>
  </si>
  <si>
    <t>Placards</t>
  </si>
  <si>
    <t>All Others</t>
  </si>
  <si>
    <t xml:space="preserve"> Total Registrations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</si>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</sst>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3" fillId="0" borderId="0" xfId="3"/>
    <xf numFmtId="0" fontId="4" fillId="0" borderId="1" xfId="3" applyFont="1" applyBorder="1" applyAlignment="1">
      <alignment horizontal="center" wrapText="1"/>
    </xf>
    <xf numFmtId="0" fontId="5" fillId="0" borderId="1" xfId="3" applyFont="1" applyBorder="1"/>
    <xf numFmtId="164" fontId="5" fillId="0" borderId="1" xfId="1" applyNumberFormat="1" applyFont="1" applyBorder="1"/>
    <xf numFmtId="0" fontId="5" fillId="0" borderId="0" xfId="3" applyFont="1"/>
    <xf numFmtId="0" fontId="6" fillId="0" borderId="0" xfId="3" applyFont="1"/>
    <xf numFmtId="0" fontId="7" fillId="0" borderId="1" xfId="3" applyFont="1" applyBorder="1" applyAlignment="1">
      <alignment horizontal="center" wrapText="1"/>
    </xf>
    <xf numFmtId="0" fontId="6" fillId="0" borderId="1" xfId="3" applyFont="1" applyBorder="1"/>
    <xf numFmtId="164" fontId="6" fillId="0" borderId="1" xfId="1" applyNumberFormat="1" applyFont="1" applyBorder="1"/>
    <xf numFmtId="3" fontId="0" fillId="0" borderId="0" xfId="0" applyNumberFormat="1"/>
    <xf numFmtId="0" fontId="6" fillId="0" borderId="1" xfId="3" applyFont="1" applyBorder="1" applyAlignment="1">
      <alignment horizontal="center" wrapText="1"/>
    </xf>
    <xf numFmtId="0" fontId="7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/>
    </xf>
    <xf numFmtId="0" fontId="4" fillId="0" borderId="1" xfId="3" applyFont="1" applyBorder="1" applyAlignment="1">
      <alignment horizontal="center" wrapText="1"/>
    </xf>
    <xf numFmtId="164" fontId="3" fillId="0" borderId="0" xfId="3" applyNumberFormat="1"/>
  </cellXfs>
  <cellStyles count="4">
    <cellStyle name="Comma" xfId="1" builtinId="3"/>
    <cellStyle name="Comma 2" xfId="2" xr:uid="{83B5F36E-0857-4CA8-BA63-F54639D4B946}"/>
    <cellStyle name="Normal" xfId="0" builtinId="0"/>
    <cellStyle name="Normal 2" xfId="3" xr:uid="{1D8D6337-23E7-456D-9163-F29743094A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76DF-16C3-4D7A-9F76-2187E0F04F47}">
  <dimension ref="A1:F4"/>
  <sheetViews>
    <sheetView tabSelected="1" workbookViewId="0">
      <selection activeCell="G2" sqref="G2"/>
    </sheetView>
  </sheetViews>
  <sheetFormatPr defaultRowHeight="13.2" x14ac:dyDescent="0.25"/>
  <cols>
    <col min="1" max="1" width="14.33203125" customWidth="1"/>
    <col min="2" max="2" width="16.33203125" customWidth="1"/>
    <col min="3" max="3" width="11" customWidth="1"/>
    <col min="6" max="6" width="16.6640625" customWidth="1"/>
  </cols>
  <sheetData>
    <row r="1" spans="1:6" x14ac:dyDescent="0.25">
      <c r="A1" t="s">
        <v>16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17</v>
      </c>
      <c r="B2" s="10">
        <v>236697</v>
      </c>
      <c r="C2" s="10">
        <v>6577</v>
      </c>
      <c r="D2" s="10">
        <v>3664</v>
      </c>
      <c r="E2" s="10">
        <v>30447</v>
      </c>
      <c r="F2" s="10">
        <v>277385</v>
      </c>
    </row>
    <row r="3" spans="1:6" x14ac:dyDescent="0.25">
      <c r="A3" t="s">
        <v>18</v>
      </c>
      <c r="B3" s="10">
        <v>359250</v>
      </c>
      <c r="C3" s="10">
        <v>6908</v>
      </c>
      <c r="D3" s="10">
        <v>6371</v>
      </c>
      <c r="E3" s="10">
        <v>41239</v>
      </c>
      <c r="F3" s="10">
        <v>413768</v>
      </c>
    </row>
    <row r="4" spans="1:6" x14ac:dyDescent="0.25">
      <c r="A4" t="s">
        <v>24</v>
      </c>
      <c r="B4" s="10">
        <f>SUM(B2:B3)</f>
        <v>595947</v>
      </c>
      <c r="C4" s="10">
        <f>SUM(C2:C3)</f>
        <v>13485</v>
      </c>
      <c r="D4" s="10">
        <f>SUM(D2:D3)</f>
        <v>10035</v>
      </c>
      <c r="E4" s="10">
        <f>SUM(E2:E3)</f>
        <v>71686</v>
      </c>
      <c r="F4" s="10">
        <f>SUM(F2:F3)</f>
        <v>691153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F8A1-93BE-4976-9D7C-78F216E7D7AB}">
  <dimension ref="A1:T6"/>
  <sheetViews>
    <sheetView zoomScale="190" zoomScaleNormal="190" zoomScaleSheetLayoutView="230" workbookViewId="0">
      <selection activeCell="B4" sqref="B4"/>
    </sheetView>
  </sheetViews>
  <sheetFormatPr defaultColWidth="9.109375" defaultRowHeight="13.2" x14ac:dyDescent="0.25"/>
  <cols>
    <col min="1" max="1" width="14" style="1" customWidth="1"/>
    <col min="2" max="11" width="10.44140625" style="1" customWidth="1"/>
    <col min="12" max="20" width="11.109375" style="1" customWidth="1"/>
    <col min="21" max="64" width="14" style="1" customWidth="1"/>
    <col min="65" max="16384" width="9.109375" style="1"/>
  </cols>
  <sheetData>
    <row r="1" spans="1:20" x14ac:dyDescent="0.25">
      <c r="A1" s="13"/>
      <c r="B1" s="14" t="s">
        <v>9</v>
      </c>
      <c r="C1" s="14" t="s">
        <v>15</v>
      </c>
      <c r="D1" s="14"/>
      <c r="E1" s="14"/>
      <c r="F1" s="14"/>
      <c r="G1" s="14"/>
      <c r="H1" s="14"/>
      <c r="I1" s="14"/>
      <c r="J1" s="14"/>
      <c r="K1" s="14"/>
      <c r="L1" s="14" t="s">
        <v>14</v>
      </c>
      <c r="M1" s="14"/>
      <c r="N1" s="14"/>
      <c r="O1" s="14"/>
      <c r="P1" s="14"/>
      <c r="Q1" s="14"/>
      <c r="R1" s="14"/>
      <c r="S1" s="14"/>
      <c r="T1" s="14"/>
    </row>
    <row r="2" spans="1:20" ht="48" x14ac:dyDescent="0.25">
      <c r="A2" s="13"/>
      <c r="B2" s="1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8</v>
      </c>
      <c r="I2" s="2" t="s">
        <v>7</v>
      </c>
      <c r="J2" s="2" t="s">
        <v>10</v>
      </c>
      <c r="K2" s="2" t="s">
        <v>11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8</v>
      </c>
      <c r="R2" s="2" t="s">
        <v>7</v>
      </c>
      <c r="S2" s="2" t="s">
        <v>10</v>
      </c>
      <c r="T2" s="2" t="s">
        <v>12</v>
      </c>
    </row>
    <row r="3" spans="1:20" x14ac:dyDescent="0.25">
      <c r="A3" s="3" t="s">
        <v>13</v>
      </c>
      <c r="B3" s="4">
        <f>SUM(B4:B5)</f>
        <v>471285</v>
      </c>
      <c r="C3" s="4">
        <f>SUM(C4:C5)</f>
        <v>3354</v>
      </c>
      <c r="D3" s="4">
        <f>SUM(D4:D5)</f>
        <v>1520</v>
      </c>
      <c r="E3" s="4">
        <f>SUM(E4:E5)</f>
        <v>108030</v>
      </c>
      <c r="F3" s="4">
        <v>7</v>
      </c>
      <c r="G3" s="4">
        <f>SUM(G4:G5)</f>
        <v>4019</v>
      </c>
      <c r="H3" s="4">
        <f>SUM(H4:H5)</f>
        <v>304695</v>
      </c>
      <c r="I3" s="4">
        <f>SUM(I4:I5)</f>
        <v>3422</v>
      </c>
      <c r="J3" s="4">
        <f>SUM(J4:J5)</f>
        <v>1787</v>
      </c>
      <c r="K3" s="4">
        <f>SUM(K4:K5)</f>
        <v>426834</v>
      </c>
      <c r="L3" s="4">
        <f>SUM(L4:L5)</f>
        <v>325</v>
      </c>
      <c r="M3" s="4">
        <f>SUM(M4:M5)</f>
        <v>195</v>
      </c>
      <c r="N3" s="4">
        <f>SUM(N4:N5)</f>
        <v>12192</v>
      </c>
      <c r="O3" s="4">
        <v>1</v>
      </c>
      <c r="P3" s="4">
        <f>SUM(P4:P5)</f>
        <v>544</v>
      </c>
      <c r="Q3" s="4">
        <f>SUM(Q4+Q5)</f>
        <v>30098</v>
      </c>
      <c r="R3" s="4">
        <f>SUM(R4+R5)</f>
        <v>906</v>
      </c>
      <c r="S3" s="4">
        <f>SUM(S4+S5)</f>
        <v>190</v>
      </c>
      <c r="T3" s="4">
        <f>SUM(T4+T5)</f>
        <v>44451</v>
      </c>
    </row>
    <row r="4" spans="1:20" x14ac:dyDescent="0.25">
      <c r="A4" s="3" t="s">
        <v>0</v>
      </c>
      <c r="B4" s="4">
        <v>166280</v>
      </c>
      <c r="C4" s="4">
        <v>717</v>
      </c>
      <c r="D4" s="4">
        <v>650</v>
      </c>
      <c r="E4" s="4">
        <v>11380</v>
      </c>
      <c r="F4" s="4">
        <v>1</v>
      </c>
      <c r="G4" s="4">
        <v>1825</v>
      </c>
      <c r="H4" s="4">
        <v>138243</v>
      </c>
      <c r="I4" s="4">
        <v>1092</v>
      </c>
      <c r="J4" s="4">
        <v>535</v>
      </c>
      <c r="K4" s="4">
        <v>154443</v>
      </c>
      <c r="L4" s="4">
        <v>59</v>
      </c>
      <c r="M4" s="4">
        <v>78</v>
      </c>
      <c r="N4" s="4">
        <v>1034</v>
      </c>
      <c r="O4" s="4"/>
      <c r="P4" s="4">
        <v>200</v>
      </c>
      <c r="Q4" s="4">
        <v>10262</v>
      </c>
      <c r="R4" s="4">
        <v>175</v>
      </c>
      <c r="S4" s="4">
        <v>29</v>
      </c>
      <c r="T4" s="4">
        <v>11837</v>
      </c>
    </row>
    <row r="5" spans="1:20" x14ac:dyDescent="0.25">
      <c r="A5" s="3" t="s">
        <v>1</v>
      </c>
      <c r="B5" s="4">
        <v>305005</v>
      </c>
      <c r="C5" s="4">
        <v>2637</v>
      </c>
      <c r="D5" s="4">
        <v>870</v>
      </c>
      <c r="E5" s="4">
        <v>96650</v>
      </c>
      <c r="F5" s="4">
        <v>6</v>
      </c>
      <c r="G5" s="4">
        <v>2194</v>
      </c>
      <c r="H5" s="4">
        <v>166452</v>
      </c>
      <c r="I5" s="4">
        <v>2330</v>
      </c>
      <c r="J5" s="4">
        <v>1252</v>
      </c>
      <c r="K5" s="4">
        <v>272391</v>
      </c>
      <c r="L5" s="4">
        <v>266</v>
      </c>
      <c r="M5" s="4">
        <v>117</v>
      </c>
      <c r="N5" s="4">
        <v>11158</v>
      </c>
      <c r="O5" s="4">
        <v>1</v>
      </c>
      <c r="P5" s="4">
        <v>344</v>
      </c>
      <c r="Q5" s="4">
        <v>19836</v>
      </c>
      <c r="R5" s="4">
        <v>731</v>
      </c>
      <c r="S5" s="4">
        <v>161</v>
      </c>
      <c r="T5" s="4">
        <v>32614</v>
      </c>
    </row>
    <row r="6" spans="1:20" x14ac:dyDescent="0.25">
      <c r="C6" s="15"/>
    </row>
  </sheetData>
  <mergeCells count="4">
    <mergeCell ref="A1:A2"/>
    <mergeCell ref="B1:B2"/>
    <mergeCell ref="C1:K1"/>
    <mergeCell ref="L1:T1"/>
  </mergeCells>
  <pageMargins left="0.25" right="0.25" top="0.75" bottom="0.75" header="0.3" footer="0.3"/>
  <pageSetup orientation="landscape" horizontalDpi="1200" verticalDpi="1200" r:id="rId1"/>
  <headerFooter>
    <oddHeader>&amp;L&amp;"Calibri,Bold"&amp;12Alabama Voter Registration Statistics for the Primary Election to be Held March 3, 2020</oddHeader>
    <oddFooter>&amp;L&amp;"Calibri,Regular"&amp;9Source:  Alabama Voter Registration System&amp;R&amp;"Calibri,Regular"&amp;9Page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D6E0-268F-4C3D-A2E0-2C017284A11B}">
  <dimension ref="A1:T5"/>
  <sheetViews>
    <sheetView topLeftCell="K1" zoomScale="190" zoomScaleNormal="190" zoomScaleSheetLayoutView="230" workbookViewId="0">
      <selection activeCell="Q9" sqref="Q9"/>
    </sheetView>
  </sheetViews>
  <sheetFormatPr defaultColWidth="9.109375" defaultRowHeight="12" x14ac:dyDescent="0.25"/>
  <cols>
    <col min="1" max="1" width="14" style="5" customWidth="1"/>
    <col min="2" max="2" width="9.5546875" style="5" customWidth="1"/>
    <col min="3" max="8" width="11.5546875" style="5" customWidth="1"/>
    <col min="9" max="9" width="11.44140625" style="5" customWidth="1"/>
    <col min="10" max="10" width="11" style="5" customWidth="1"/>
    <col min="11" max="20" width="11.5546875" style="5" customWidth="1"/>
    <col min="21" max="64" width="14" style="5" customWidth="1"/>
    <col min="65" max="16384" width="9.109375" style="5"/>
  </cols>
  <sheetData>
    <row r="1" spans="1:20" x14ac:dyDescent="0.25">
      <c r="A1" s="13"/>
      <c r="B1" s="14" t="s">
        <v>9</v>
      </c>
      <c r="C1" s="14" t="s">
        <v>15</v>
      </c>
      <c r="D1" s="14"/>
      <c r="E1" s="14"/>
      <c r="F1" s="14"/>
      <c r="G1" s="14"/>
      <c r="H1" s="14"/>
      <c r="I1" s="14"/>
      <c r="J1" s="14"/>
      <c r="K1" s="14"/>
      <c r="L1" s="14" t="s">
        <v>14</v>
      </c>
      <c r="M1" s="14"/>
      <c r="N1" s="14"/>
      <c r="O1" s="14"/>
      <c r="P1" s="14"/>
      <c r="Q1" s="14"/>
      <c r="R1" s="14"/>
      <c r="S1" s="14"/>
      <c r="T1" s="14"/>
    </row>
    <row r="2" spans="1:20" ht="50.25" customHeight="1" x14ac:dyDescent="0.25">
      <c r="A2" s="13"/>
      <c r="B2" s="1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8</v>
      </c>
      <c r="I2" s="2" t="s">
        <v>7</v>
      </c>
      <c r="J2" s="2" t="s">
        <v>10</v>
      </c>
      <c r="K2" s="2" t="s">
        <v>11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8</v>
      </c>
      <c r="R2" s="2" t="s">
        <v>7</v>
      </c>
      <c r="S2" s="2" t="s">
        <v>10</v>
      </c>
      <c r="T2" s="2" t="s">
        <v>12</v>
      </c>
    </row>
    <row r="3" spans="1:20" x14ac:dyDescent="0.25">
      <c r="A3" s="3" t="s">
        <v>13</v>
      </c>
      <c r="B3" s="4">
        <f>SUM(B4:B5)</f>
        <v>476074</v>
      </c>
      <c r="C3" s="4">
        <f>SUM(C4:C5)</f>
        <v>3508</v>
      </c>
      <c r="D3" s="4">
        <f>SUM(D4:D5)</f>
        <v>1526</v>
      </c>
      <c r="E3" s="4">
        <f>SUM(E4:E5)</f>
        <v>110035</v>
      </c>
      <c r="F3" s="4">
        <f>SUM(F4:F5)</f>
        <v>8</v>
      </c>
      <c r="G3" s="4">
        <f>SUM(G4:G5)</f>
        <v>4174</v>
      </c>
      <c r="H3" s="4">
        <f>SUM(H4:H5)</f>
        <v>309234</v>
      </c>
      <c r="I3" s="4">
        <f>SUM(I4:I5)</f>
        <v>3427</v>
      </c>
      <c r="J3" s="4">
        <f>SUM(J4:J5)</f>
        <v>1964</v>
      </c>
      <c r="K3" s="4">
        <f>SUM(K4:K5)</f>
        <v>433876</v>
      </c>
      <c r="L3" s="4">
        <f>SUM(L4:L5)</f>
        <v>306</v>
      </c>
      <c r="M3" s="4">
        <f>SUM(M4:M5)</f>
        <v>183</v>
      </c>
      <c r="N3" s="4">
        <f>SUM(N4:N5)</f>
        <v>11372</v>
      </c>
      <c r="O3" s="4">
        <v>1</v>
      </c>
      <c r="P3" s="4">
        <f>SUM(P4:P5)</f>
        <v>527</v>
      </c>
      <c r="Q3" s="4">
        <f>SUM(Q4+Q5)</f>
        <v>28735</v>
      </c>
      <c r="R3" s="4">
        <f>SUM(R4+R5)</f>
        <v>888</v>
      </c>
      <c r="S3" s="4">
        <f>SUM(S4+S5)</f>
        <v>186</v>
      </c>
      <c r="T3" s="4">
        <f>SUM(T4+T5)</f>
        <v>42198</v>
      </c>
    </row>
    <row r="4" spans="1:20" x14ac:dyDescent="0.25">
      <c r="A4" s="3" t="s">
        <v>0</v>
      </c>
      <c r="B4" s="4">
        <v>168600</v>
      </c>
      <c r="C4" s="4">
        <v>752</v>
      </c>
      <c r="D4" s="4">
        <v>651</v>
      </c>
      <c r="E4" s="4">
        <v>11597</v>
      </c>
      <c r="F4" s="4">
        <v>1</v>
      </c>
      <c r="G4" s="4">
        <v>1893</v>
      </c>
      <c r="H4" s="4">
        <v>140617</v>
      </c>
      <c r="I4" s="4">
        <v>1091</v>
      </c>
      <c r="J4" s="4">
        <v>600</v>
      </c>
      <c r="K4" s="4">
        <v>157202</v>
      </c>
      <c r="L4" s="4">
        <v>59</v>
      </c>
      <c r="M4" s="4">
        <v>78</v>
      </c>
      <c r="N4" s="4">
        <v>981</v>
      </c>
      <c r="O4" s="4"/>
      <c r="P4" s="4">
        <v>198</v>
      </c>
      <c r="Q4" s="4">
        <v>9881</v>
      </c>
      <c r="R4" s="4">
        <v>172</v>
      </c>
      <c r="S4" s="4">
        <v>29</v>
      </c>
      <c r="T4" s="4">
        <v>11398</v>
      </c>
    </row>
    <row r="5" spans="1:20" x14ac:dyDescent="0.25">
      <c r="A5" s="3" t="s">
        <v>1</v>
      </c>
      <c r="B5" s="4">
        <v>307474</v>
      </c>
      <c r="C5" s="4">
        <v>2756</v>
      </c>
      <c r="D5" s="4">
        <v>875</v>
      </c>
      <c r="E5" s="4">
        <v>98438</v>
      </c>
      <c r="F5" s="4">
        <v>7</v>
      </c>
      <c r="G5" s="4">
        <v>2281</v>
      </c>
      <c r="H5" s="4">
        <v>168617</v>
      </c>
      <c r="I5" s="4">
        <v>2336</v>
      </c>
      <c r="J5" s="4">
        <v>1364</v>
      </c>
      <c r="K5" s="4">
        <v>276674</v>
      </c>
      <c r="L5" s="4">
        <v>247</v>
      </c>
      <c r="M5" s="4">
        <v>105</v>
      </c>
      <c r="N5" s="4">
        <v>10391</v>
      </c>
      <c r="O5" s="4">
        <v>1</v>
      </c>
      <c r="P5" s="4">
        <v>329</v>
      </c>
      <c r="Q5" s="4">
        <v>18854</v>
      </c>
      <c r="R5" s="4">
        <v>716</v>
      </c>
      <c r="S5" s="4">
        <v>157</v>
      </c>
      <c r="T5" s="4">
        <v>30800</v>
      </c>
    </row>
  </sheetData>
  <mergeCells count="4">
    <mergeCell ref="A1:A2"/>
    <mergeCell ref="B1:B2"/>
    <mergeCell ref="C1:K1"/>
    <mergeCell ref="L1:T1"/>
  </mergeCells>
  <pageMargins left="0.25" right="0.25" top="0.75" bottom="0.75" header="0.3" footer="0.3"/>
  <pageSetup orientation="landscape" r:id="rId1"/>
  <headerFooter>
    <oddHeader>&amp;L&amp;"Calibri,Bold"&amp;12Alabama Voter Registration Statistics for the Primary Runoff Election to be held July 14, 2020</oddHeader>
    <oddFooter>&amp;L&amp;"Calibri,Regular"&amp;9Source:  Alabama Voter Registration System&amp;R&amp;"Calibri,Regular"&amp;9Page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1B09-82BA-4E81-9395-B36C6257516A}">
  <dimension ref="A1:T5"/>
  <sheetViews>
    <sheetView zoomScale="205" zoomScaleNormal="205" zoomScaleSheetLayoutView="230" workbookViewId="0">
      <selection activeCell="P4" sqref="P4"/>
    </sheetView>
  </sheetViews>
  <sheetFormatPr defaultColWidth="9.109375" defaultRowHeight="12" x14ac:dyDescent="0.25"/>
  <cols>
    <col min="1" max="1" width="14" style="5" customWidth="1"/>
    <col min="2" max="2" width="11" style="5" customWidth="1"/>
    <col min="3" max="11" width="10.88671875" style="5" customWidth="1"/>
    <col min="12" max="20" width="11.33203125" style="5" customWidth="1"/>
    <col min="21" max="64" width="14" style="5" customWidth="1"/>
    <col min="65" max="16384" width="9.109375" style="5"/>
  </cols>
  <sheetData>
    <row r="1" spans="1:20" x14ac:dyDescent="0.25">
      <c r="A1" s="13"/>
      <c r="B1" s="14" t="s">
        <v>9</v>
      </c>
      <c r="C1" s="14" t="s">
        <v>15</v>
      </c>
      <c r="D1" s="14"/>
      <c r="E1" s="14"/>
      <c r="F1" s="14"/>
      <c r="G1" s="14"/>
      <c r="H1" s="14"/>
      <c r="I1" s="14"/>
      <c r="J1" s="14"/>
      <c r="K1" s="14"/>
      <c r="L1" s="14" t="s">
        <v>14</v>
      </c>
      <c r="M1" s="14"/>
      <c r="N1" s="14"/>
      <c r="O1" s="14"/>
      <c r="P1" s="14"/>
      <c r="Q1" s="14"/>
      <c r="R1" s="14"/>
      <c r="S1" s="14"/>
      <c r="T1" s="14"/>
    </row>
    <row r="2" spans="1:20" ht="50.25" customHeight="1" x14ac:dyDescent="0.25">
      <c r="A2" s="13"/>
      <c r="B2" s="1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8</v>
      </c>
      <c r="I2" s="2" t="s">
        <v>7</v>
      </c>
      <c r="J2" s="2" t="s">
        <v>10</v>
      </c>
      <c r="K2" s="2" t="s">
        <v>11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8</v>
      </c>
      <c r="R2" s="2" t="s">
        <v>7</v>
      </c>
      <c r="S2" s="2" t="s">
        <v>10</v>
      </c>
      <c r="T2" s="2" t="s">
        <v>12</v>
      </c>
    </row>
    <row r="3" spans="1:20" x14ac:dyDescent="0.25">
      <c r="A3" s="3" t="s">
        <v>13</v>
      </c>
      <c r="B3" s="4">
        <f>SUM(B4:B5)</f>
        <v>491571</v>
      </c>
      <c r="C3" s="4">
        <f>SUM(C4:C5)</f>
        <v>3962</v>
      </c>
      <c r="D3" s="4">
        <f>SUM(D4:D5)</f>
        <v>1711</v>
      </c>
      <c r="E3" s="4">
        <f>SUM(E4:E5)</f>
        <v>114062</v>
      </c>
      <c r="F3" s="4">
        <f>SUM(F4:F5)</f>
        <v>7</v>
      </c>
      <c r="G3" s="4">
        <f>SUM(G4:G5)</f>
        <v>4640</v>
      </c>
      <c r="H3" s="4">
        <f>SUM(H4:H5)</f>
        <v>322303</v>
      </c>
      <c r="I3" s="4">
        <f>SUM(I4:I5)</f>
        <v>3780</v>
      </c>
      <c r="J3" s="4">
        <f>SUM(J4:J5)</f>
        <v>2220</v>
      </c>
      <c r="K3" s="4">
        <f>SUM(K4:K5)</f>
        <v>452685</v>
      </c>
      <c r="L3" s="4">
        <f>SUM(L4:L5)</f>
        <v>285</v>
      </c>
      <c r="M3" s="4">
        <f>SUM(M4:M5)</f>
        <v>165</v>
      </c>
      <c r="N3" s="4">
        <f>SUM(N4:N5)</f>
        <v>10194</v>
      </c>
      <c r="O3" s="4">
        <v>1</v>
      </c>
      <c r="P3" s="4">
        <f>SUM(P4:P5)</f>
        <v>502</v>
      </c>
      <c r="Q3" s="4">
        <f>SUM(Q4+Q5)</f>
        <v>26723</v>
      </c>
      <c r="R3" s="4">
        <f>SUM(R4+R5)</f>
        <v>842</v>
      </c>
      <c r="S3" s="4">
        <f>SUM(S4+S5)</f>
        <v>174</v>
      </c>
      <c r="T3" s="4">
        <f>SUM(T4+T5)</f>
        <v>38886</v>
      </c>
    </row>
    <row r="4" spans="1:20" x14ac:dyDescent="0.25">
      <c r="A4" s="3" t="s">
        <v>0</v>
      </c>
      <c r="B4" s="4">
        <v>176642</v>
      </c>
      <c r="C4" s="4">
        <v>878</v>
      </c>
      <c r="D4" s="4">
        <v>704</v>
      </c>
      <c r="E4" s="4">
        <v>12172</v>
      </c>
      <c r="F4" s="4">
        <v>1</v>
      </c>
      <c r="G4" s="4">
        <v>2120</v>
      </c>
      <c r="H4" s="4">
        <v>148056</v>
      </c>
      <c r="I4" s="4">
        <v>1216</v>
      </c>
      <c r="J4" s="4">
        <v>701</v>
      </c>
      <c r="K4" s="4">
        <v>165848</v>
      </c>
      <c r="L4" s="4">
        <v>55</v>
      </c>
      <c r="M4" s="4">
        <v>70</v>
      </c>
      <c r="N4" s="4">
        <v>915</v>
      </c>
      <c r="O4" s="4"/>
      <c r="P4" s="4">
        <v>190</v>
      </c>
      <c r="Q4" s="4">
        <v>9371</v>
      </c>
      <c r="R4" s="4">
        <v>163</v>
      </c>
      <c r="S4" s="4">
        <v>30</v>
      </c>
      <c r="T4" s="4">
        <v>10794</v>
      </c>
    </row>
    <row r="5" spans="1:20" x14ac:dyDescent="0.25">
      <c r="A5" s="3" t="s">
        <v>1</v>
      </c>
      <c r="B5" s="4">
        <v>314929</v>
      </c>
      <c r="C5" s="4">
        <v>3084</v>
      </c>
      <c r="D5" s="4">
        <v>1007</v>
      </c>
      <c r="E5" s="4">
        <v>101890</v>
      </c>
      <c r="F5" s="4">
        <v>6</v>
      </c>
      <c r="G5" s="4">
        <v>2520</v>
      </c>
      <c r="H5" s="4">
        <v>174247</v>
      </c>
      <c r="I5" s="4">
        <v>2564</v>
      </c>
      <c r="J5" s="4">
        <v>1519</v>
      </c>
      <c r="K5" s="4">
        <v>286837</v>
      </c>
      <c r="L5" s="4">
        <v>230</v>
      </c>
      <c r="M5" s="4">
        <v>95</v>
      </c>
      <c r="N5" s="4">
        <v>9279</v>
      </c>
      <c r="O5" s="4">
        <v>1</v>
      </c>
      <c r="P5" s="4">
        <v>312</v>
      </c>
      <c r="Q5" s="4">
        <v>17352</v>
      </c>
      <c r="R5" s="4">
        <v>679</v>
      </c>
      <c r="S5" s="4">
        <v>144</v>
      </c>
      <c r="T5" s="4">
        <v>28092</v>
      </c>
    </row>
  </sheetData>
  <mergeCells count="4">
    <mergeCell ref="A1:A2"/>
    <mergeCell ref="B1:B2"/>
    <mergeCell ref="C1:K1"/>
    <mergeCell ref="L1:T1"/>
  </mergeCells>
  <pageMargins left="0.25" right="0.25" top="0.75" bottom="0.75" header="0.3" footer="0.3"/>
  <pageSetup orientation="landscape" horizontalDpi="1200" verticalDpi="1200" r:id="rId1"/>
  <headerFooter>
    <oddHeader>&amp;L&amp;"Calibri,Bold"&amp;12Alabama Voter Registration Statistics for the General Election to be Held on November 3, 2020</oddHeader>
    <oddFooter>&amp;L&amp;"Calibri,Regular"&amp;9Source: Alabama Voter Registration System&amp;R&amp;"Calibri,Regular"&amp;9Page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5C8C-2456-4503-8172-F47CAFD275C7}">
  <dimension ref="A1:T5"/>
  <sheetViews>
    <sheetView topLeftCell="I1" zoomScale="160" zoomScaleNormal="160" zoomScaleSheetLayoutView="230" workbookViewId="0">
      <selection activeCell="P4" sqref="P4"/>
    </sheetView>
  </sheetViews>
  <sheetFormatPr defaultColWidth="9.109375" defaultRowHeight="13.8" x14ac:dyDescent="0.3"/>
  <cols>
    <col min="1" max="1" width="14" style="6" customWidth="1"/>
    <col min="2" max="2" width="10.5546875" style="6" customWidth="1"/>
    <col min="3" max="3" width="11" style="6" customWidth="1"/>
    <col min="4" max="6" width="11.6640625" style="6" customWidth="1"/>
    <col min="7" max="7" width="10.33203125" style="6" customWidth="1"/>
    <col min="8" max="8" width="11.6640625" style="6" customWidth="1"/>
    <col min="9" max="9" width="10" style="6" customWidth="1"/>
    <col min="10" max="10" width="9.88671875" style="6" customWidth="1"/>
    <col min="11" max="20" width="11.6640625" style="6" customWidth="1"/>
    <col min="21" max="64" width="14" style="6" customWidth="1"/>
    <col min="65" max="16384" width="9.109375" style="6"/>
  </cols>
  <sheetData>
    <row r="1" spans="1:20" x14ac:dyDescent="0.3">
      <c r="A1" s="11"/>
      <c r="B1" s="12" t="s">
        <v>9</v>
      </c>
      <c r="C1" s="12" t="s">
        <v>15</v>
      </c>
      <c r="D1" s="12"/>
      <c r="E1" s="12"/>
      <c r="F1" s="12"/>
      <c r="G1" s="12"/>
      <c r="H1" s="12"/>
      <c r="I1" s="12"/>
      <c r="J1" s="12"/>
      <c r="K1" s="12"/>
      <c r="L1" s="12" t="s">
        <v>14</v>
      </c>
      <c r="M1" s="12"/>
      <c r="N1" s="12"/>
      <c r="O1" s="12"/>
      <c r="P1" s="12"/>
      <c r="Q1" s="12"/>
      <c r="R1" s="12"/>
      <c r="S1" s="12"/>
      <c r="T1" s="12"/>
    </row>
    <row r="2" spans="1:20" ht="57" customHeight="1" x14ac:dyDescent="0.3">
      <c r="A2" s="11"/>
      <c r="B2" s="12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8</v>
      </c>
      <c r="I2" s="7" t="s">
        <v>7</v>
      </c>
      <c r="J2" s="7" t="s">
        <v>10</v>
      </c>
      <c r="K2" s="7" t="s">
        <v>11</v>
      </c>
      <c r="L2" s="7" t="s">
        <v>2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8</v>
      </c>
      <c r="R2" s="7" t="s">
        <v>7</v>
      </c>
      <c r="S2" s="7" t="s">
        <v>10</v>
      </c>
      <c r="T2" s="7" t="s">
        <v>12</v>
      </c>
    </row>
    <row r="3" spans="1:20" x14ac:dyDescent="0.3">
      <c r="A3" s="8" t="s">
        <v>13</v>
      </c>
      <c r="B3" s="9">
        <f>SUM(B4:B5)</f>
        <v>494671</v>
      </c>
      <c r="C3" s="9">
        <f>SUM(C4:C5)</f>
        <v>4062</v>
      </c>
      <c r="D3" s="9">
        <f>SUM(D4:D5)</f>
        <v>1762</v>
      </c>
      <c r="E3" s="9">
        <f>SUM(E4:E5)</f>
        <v>115327</v>
      </c>
      <c r="F3" s="9">
        <v>6</v>
      </c>
      <c r="G3" s="9">
        <f>SUM(G4:G5)</f>
        <v>4750</v>
      </c>
      <c r="H3" s="9">
        <f>SUM(H4:H5)</f>
        <v>325620</v>
      </c>
      <c r="I3" s="9">
        <f>SUM(I4:I5)</f>
        <v>3820</v>
      </c>
      <c r="J3" s="9">
        <f>SUM(J4:J5)</f>
        <v>2267</v>
      </c>
      <c r="K3" s="9">
        <f>SUM(K4:K5)</f>
        <v>457614</v>
      </c>
      <c r="L3" s="9">
        <f>SUM(L4:L5)</f>
        <v>275</v>
      </c>
      <c r="M3" s="9">
        <f>SUM(M4:M5)</f>
        <v>159</v>
      </c>
      <c r="N3" s="9">
        <f>SUM(N4:N5)</f>
        <v>9597</v>
      </c>
      <c r="O3" s="9">
        <v>1</v>
      </c>
      <c r="P3" s="9">
        <f>SUM(P4:P5)</f>
        <v>483</v>
      </c>
      <c r="Q3" s="9">
        <f>SUM(Q4+Q5)</f>
        <v>25548</v>
      </c>
      <c r="R3" s="9">
        <f>SUM(R4+R5)</f>
        <v>827</v>
      </c>
      <c r="S3" s="9">
        <f>SUM(S4+S5)</f>
        <v>167</v>
      </c>
      <c r="T3" s="9">
        <f>SUM(T4+T5)</f>
        <v>37057</v>
      </c>
    </row>
    <row r="4" spans="1:20" x14ac:dyDescent="0.3">
      <c r="A4" s="8" t="s">
        <v>0</v>
      </c>
      <c r="B4" s="9">
        <v>178208</v>
      </c>
      <c r="C4" s="9">
        <v>906</v>
      </c>
      <c r="D4" s="9">
        <v>718</v>
      </c>
      <c r="E4" s="9">
        <v>12310</v>
      </c>
      <c r="F4" s="9"/>
      <c r="G4" s="9">
        <v>2174</v>
      </c>
      <c r="H4" s="9">
        <v>149817</v>
      </c>
      <c r="I4" s="9">
        <v>1226</v>
      </c>
      <c r="J4" s="9">
        <v>720</v>
      </c>
      <c r="K4" s="9">
        <v>167871</v>
      </c>
      <c r="L4" s="9">
        <v>53</v>
      </c>
      <c r="M4" s="9">
        <v>72</v>
      </c>
      <c r="N4" s="9">
        <v>863</v>
      </c>
      <c r="O4" s="9"/>
      <c r="P4" s="9">
        <v>182</v>
      </c>
      <c r="Q4" s="9">
        <v>8980</v>
      </c>
      <c r="R4" s="9">
        <v>159</v>
      </c>
      <c r="S4" s="9">
        <v>28</v>
      </c>
      <c r="T4" s="9">
        <v>10337</v>
      </c>
    </row>
    <row r="5" spans="1:20" x14ac:dyDescent="0.3">
      <c r="A5" s="8" t="s">
        <v>1</v>
      </c>
      <c r="B5" s="9">
        <v>316463</v>
      </c>
      <c r="C5" s="9">
        <v>3156</v>
      </c>
      <c r="D5" s="9">
        <v>1044</v>
      </c>
      <c r="E5" s="9">
        <v>103017</v>
      </c>
      <c r="F5" s="9">
        <v>6</v>
      </c>
      <c r="G5" s="9">
        <v>2576</v>
      </c>
      <c r="H5" s="9">
        <v>175803</v>
      </c>
      <c r="I5" s="9">
        <v>2594</v>
      </c>
      <c r="J5" s="9">
        <v>1547</v>
      </c>
      <c r="K5" s="9">
        <v>289743</v>
      </c>
      <c r="L5" s="9">
        <v>222</v>
      </c>
      <c r="M5" s="9">
        <v>87</v>
      </c>
      <c r="N5" s="9">
        <v>8734</v>
      </c>
      <c r="O5" s="9">
        <v>1</v>
      </c>
      <c r="P5" s="9">
        <v>301</v>
      </c>
      <c r="Q5" s="9">
        <v>16568</v>
      </c>
      <c r="R5" s="9">
        <v>668</v>
      </c>
      <c r="S5" s="9">
        <v>139</v>
      </c>
      <c r="T5" s="9">
        <v>26720</v>
      </c>
    </row>
  </sheetData>
  <mergeCells count="4">
    <mergeCell ref="A1:A2"/>
    <mergeCell ref="B1:B2"/>
    <mergeCell ref="C1:K1"/>
    <mergeCell ref="L1:T1"/>
  </mergeCells>
  <pageMargins left="0.25" right="0.25" top="0.75" bottom="0.75" header="0.3" footer="0.3"/>
  <pageSetup orientation="landscape" r:id="rId1"/>
  <headerFooter>
    <oddHeader>&amp;L&amp;"Calibri,Bold"&amp;12Alabama Voter Registration Statistics as of December 31, 2020</oddHeader>
    <oddFooter>&amp;L&amp;"Calibri,Regular"&amp;9Source:  Alabama Voter Registration System&amp;R&amp;"Calibri,Regular"&amp;9Page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VehicleRegs 2020</vt:lpstr>
      <vt:lpstr>2020 Primary Election</vt:lpstr>
      <vt:lpstr>2020 Primary Runoff</vt:lpstr>
      <vt:lpstr>2020 General</vt:lpstr>
      <vt:lpstr>December 2020</vt:lpstr>
      <vt:lpstr>'2020 General'!Print_Titles</vt:lpstr>
      <vt:lpstr>'2020 Primary Election'!Print_Titles</vt:lpstr>
      <vt:lpstr>'2020 Primary Runoff'!Print_Titles</vt:lpstr>
      <vt:lpstr>'December 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Packard, Ed</dc:creator>
  <cp:lastModifiedBy>Andy Quang Nguyen</cp:lastModifiedBy>
  <cp:lastPrinted>2021-01-11T15:21:25Z</cp:lastPrinted>
  <dcterms:created xsi:type="dcterms:W3CDTF">2020-02-04T20:43:01Z</dcterms:created>
  <dcterms:modified xsi:type="dcterms:W3CDTF">2026-03-31T22:59:32Z</dcterms:modified>
</cp:coreProperties>
</file>